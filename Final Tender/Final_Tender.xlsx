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damien/Dropbox/PRS DOCUMENTS/TENDERS/TENDERS 2026/CITY RESTORATION/Tradewinds docs/Tender docs/"/>
    </mc:Choice>
  </mc:AlternateContent>
  <xr:revisionPtr revIDLastSave="0" documentId="13_ncr:1_{C195B189-2C30-AF40-BCB8-CB8ABA4A0ADB}" xr6:coauthVersionLast="47" xr6:coauthVersionMax="47" xr10:uidLastSave="{00000000-0000-0000-0000-000000000000}"/>
  <bookViews>
    <workbookView xWindow="0" yWindow="0" windowWidth="44800" windowHeight="25200" xr2:uid="{423A7ACE-2EC5-4F42-8D61-317E9E7402C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70" i="1" l="1"/>
  <c r="F48" i="1"/>
  <c r="F26" i="1"/>
  <c r="F72" i="1" l="1"/>
  <c r="F67" i="1"/>
  <c r="F66" i="1"/>
  <c r="F65" i="1"/>
  <c r="F64" i="1"/>
  <c r="F63" i="1"/>
  <c r="F62" i="1"/>
  <c r="F61" i="1"/>
  <c r="F60" i="1"/>
  <c r="F59" i="1"/>
  <c r="F58" i="1"/>
  <c r="F57" i="1"/>
  <c r="F56" i="1"/>
  <c r="F55" i="1"/>
  <c r="F53" i="1"/>
  <c r="F52" i="1"/>
  <c r="F46" i="1"/>
  <c r="F45" i="1"/>
  <c r="F44" i="1"/>
  <c r="F43" i="1"/>
  <c r="F42" i="1"/>
  <c r="F41" i="1"/>
  <c r="F40" i="1"/>
  <c r="F39" i="1"/>
  <c r="F38" i="1"/>
  <c r="F37" i="1"/>
  <c r="F36" i="1"/>
  <c r="F35" i="1"/>
  <c r="F34" i="1"/>
  <c r="F33" i="1"/>
  <c r="F32" i="1"/>
  <c r="F31" i="1"/>
  <c r="F30" i="1"/>
  <c r="F24" i="1"/>
  <c r="F23" i="1"/>
  <c r="F22" i="1"/>
  <c r="F21" i="1"/>
  <c r="F20" i="1"/>
  <c r="F19" i="1"/>
  <c r="F18" i="1"/>
  <c r="F17" i="1"/>
  <c r="F16" i="1"/>
  <c r="F15" i="1"/>
</calcChain>
</file>

<file path=xl/sharedStrings.xml><?xml version="1.0" encoding="utf-8"?>
<sst xmlns="http://schemas.openxmlformats.org/spreadsheetml/2006/main" count="138" uniqueCount="52">
  <si>
    <t>Project:</t>
  </si>
  <si>
    <t>Date:</t>
  </si>
  <si>
    <t>Item</t>
  </si>
  <si>
    <t>Description</t>
  </si>
  <si>
    <t>Qty</t>
  </si>
  <si>
    <t>Rate</t>
  </si>
  <si>
    <t>Total</t>
  </si>
  <si>
    <t>Unit</t>
  </si>
  <si>
    <t>Tradewinds</t>
  </si>
  <si>
    <t>Package</t>
  </si>
  <si>
    <t>Roofing</t>
  </si>
  <si>
    <t xml:space="preserve">BLOCK A </t>
  </si>
  <si>
    <r>
      <t>Extended Roof Warranty</t>
    </r>
    <r>
      <rPr>
        <b/>
        <sz val="10.5"/>
        <color rgb="FF000000"/>
        <rFont val="Arial"/>
        <family val="2"/>
      </rPr>
      <t xml:space="preserve"> </t>
    </r>
  </si>
  <si>
    <t xml:space="preserve">All roof work is to be carried out by an NFRC accredited roofer. The contractor must include a 20 Year ‘Insurance Backed Guarantee’ on completion of works. 
It is the responsibility of the contractor to ensure specification of all minor details and staged inspections by the roof manufacturer where necessary.  </t>
  </si>
  <si>
    <t xml:space="preserve">Where the contractor is not NFRC self-certifying, they are to issue Building Control Notice, arrange BCO inspections and ensure Building Completion Certificate and bear the cost of all BCO fees. </t>
  </si>
  <si>
    <r>
      <rPr>
        <b/>
        <u/>
        <sz val="12"/>
        <color theme="1"/>
        <rFont val="Calibri"/>
        <family val="2"/>
      </rPr>
      <t>Main Roof Replacement</t>
    </r>
    <r>
      <rPr>
        <b/>
        <i/>
        <u/>
        <sz val="10.5"/>
        <color rgb="FF000000"/>
        <rFont val="Arial"/>
        <family val="2"/>
      </rPr>
      <t xml:space="preserve"> </t>
    </r>
    <r>
      <rPr>
        <i/>
        <u/>
        <sz val="10.5"/>
        <color rgb="FF000000"/>
        <rFont val="Arial"/>
        <family val="2"/>
      </rPr>
      <t xml:space="preserve">(indicated ‘Block A’ and edged red on appendix 1 &amp; please also see photograph 1 - 6) </t>
    </r>
  </si>
  <si>
    <t xml:space="preserve"> The contractor must take their own roof core sample(s) to satisfy themselves with regard to the existing roof build-up. </t>
  </si>
  <si>
    <t>item</t>
  </si>
  <si>
    <t xml:space="preserve">Where the Waterproofing system bridges a compartmented wall, it is expected that the existing underlying system is laid on a substrate or deck that is non-combustible to latest BS in force. Allow to carry out core samples to ascertain presence and rating of compartmentation of existing insulated roof system. Additional rectification works to roofline compartmentation to be cost agreed in writing with the C.A. </t>
  </si>
  <si>
    <t xml:space="preserve">Include all temporary weather protection during works, tarpaulins etc. </t>
  </si>
  <si>
    <t xml:space="preserve">Allow to set aside and reinstate zinc parapet cappings including renew all non-ferrous fixings and associated weatherproof grommet seals etc. 
Subject to site review it will be acceptable for the contractor form new capping over the top of the existing formed in WBP ply to receive proposed roof system with a GRP edge trim to finish below outside edge of original capping drip edge. </t>
  </si>
  <si>
    <t>m</t>
  </si>
  <si>
    <t xml:space="preserve">NFRC accredited roofer to fully strip off the existing roof system to expose the underlying concrete deck. Cart away. </t>
  </si>
  <si>
    <t>m2</t>
  </si>
  <si>
    <t xml:space="preserve">NFRC accredited roofer approved by the chosen manufacturer product to clean, dry off and prime the concrete deck to the roof in line with manufacturer’s specification. 
Lay High performance 3-layer built-up bituminous membrane system. To be Proteus Pro-Felt® System (or high-quality equivalent BBA approved) to entire roof section. 
Provide and install Vapour Control Layer (VCL)  Insulation layer as described. 
Underlay followed by reinforced capping sheet layer. 
Include all termination and flashing details and GRP trims or as recommended by manufacturer at all abutments. </t>
  </si>
  <si>
    <t xml:space="preserve">Insulation system to be tapered PIR insulation system to thickness required to bring the roof up to latest Part L Building Regulations in force. Include all hard edges as required to form gully/sump areas leading to parapet outlets etc. </t>
  </si>
  <si>
    <t xml:space="preserve">Include to dress roof system minimum 150mm up all pipe penetrations and metal poles to existing lanyard system, all terminated and sealed strictly in accordance with the roof manufacturer’s specification. </t>
  </si>
  <si>
    <t>Refurbish/renew existing parapet outlet gullies and chutes. Make ready to accept new Refurbishment Outlets &amp; Chutes (compatible with chosen roof system). Where necessary, cut back and remove sufficient materials from around the outlets and as required from the surrounding area to allow for correct installation.</t>
  </si>
  <si>
    <t xml:space="preserve">Include to fully strip off existing roof coverings and install specified roof system to lift housing (photograph 1). </t>
  </si>
  <si>
    <t xml:space="preserve">Day / Night Joints 
The contractor must ensure at the end of each working day or period that any exposed membranes or substrates that are susceptible to damage through water ingress are sealed with a compatible membrane to ensure complete water tightness. </t>
  </si>
  <si>
    <t xml:space="preserve">Allow to renew defective leaf guards to internal SVPs. </t>
  </si>
  <si>
    <t>Provisional item. Take down redundant heavy duty window cleaning arm and associated base from roof (photograph 6). Cart away. 
NB: If the redundant equipment is not removed from site it must be placed on a sacrificial layer so as not to invalidate the roof guarantee</t>
  </si>
  <si>
    <t>no</t>
  </si>
  <si>
    <t>Subtotal</t>
  </si>
  <si>
    <t>BLOCK B</t>
  </si>
  <si>
    <r>
      <t>Main Roof Replacement</t>
    </r>
    <r>
      <rPr>
        <i/>
        <sz val="10.5"/>
        <color rgb="FF000000"/>
        <rFont val="Arial"/>
        <family val="2"/>
      </rPr>
      <t xml:space="preserve"> (indicated ‘Block B’ and edged red on appendix 1 &amp; please also see photograph 7 - 14) </t>
    </r>
  </si>
  <si>
    <t xml:space="preserve">The contractor must take their own roof core sample(s) to satisfy themselves with regard to the existing roof build-up. </t>
  </si>
  <si>
    <t>Provisional item. Take down redundant heavy duty window cleaning arm and associated base from roof (photograph 12). Cart away. 
NB: If the redundant equipment is not removed from site it must be placed on a sacrificial layer so as not to invalidate the roof guarantee</t>
  </si>
  <si>
    <t>BLOCK C</t>
  </si>
  <si>
    <r>
      <t>Main Roof Replacement</t>
    </r>
    <r>
      <rPr>
        <i/>
        <sz val="10.5"/>
        <color rgb="FF000000"/>
        <rFont val="Arial"/>
        <family val="2"/>
      </rPr>
      <t xml:space="preserve"> (indicated ‘Block C’ and edged red on appendix 1 &amp; please also see photograph 15 - 16) </t>
    </r>
  </si>
  <si>
    <t>Grand Total Blocks A, B &amp; C</t>
  </si>
  <si>
    <t>Profix qualificatons</t>
  </si>
  <si>
    <t>The manufacturer will carry out necessary core samples when our works commence and they will report the existing compartmentation status. Additional costs will be provided if need be based on their findings</t>
  </si>
  <si>
    <t>included</t>
  </si>
  <si>
    <t>Providing a 20 year manufacturers materials &amp; workmanship guarantee which is included in our cost</t>
  </si>
  <si>
    <t xml:space="preserve">We are members of NFRC - no Building Control cost allowed </t>
  </si>
  <si>
    <t>Manufacturer will take necessary core samples</t>
  </si>
  <si>
    <t>As agreed with Proteus - the prefered method is to supply and fix 18mm ply and GRP edge trim over existing capping  - removal and replacement of lightening conductor works for others</t>
  </si>
  <si>
    <t xml:space="preserve">Cost provided presuming main contractor provides rubbish chute and/or hoist from scaffold direct to our skip at ground level </t>
  </si>
  <si>
    <t>Tapered insulation provided as per Proteus guidelines</t>
  </si>
  <si>
    <t xml:space="preserve">others </t>
  </si>
  <si>
    <t>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</si>
</sst>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809]* #,##0.00_-;\-[$£-809]* #,##0.00_-;_-[$£-809]* &quot;-&quot;??_-;_-@_-"/>
  </numFmts>
  <fonts count="13" x14ac:knownFonts="1">
    <font>
      <sz val="12"/>
      <color theme="1"/>
      <name val="Calibri"/>
      <family val="2"/>
      <scheme val="minor"/>
    </font>
    <font>
      <sz val="12"/>
      <color theme="1"/>
      <name val="Calibri"/>
      <family val="2"/>
      <scheme val="minor"/>
    </font>
    <font>
      <b/>
      <sz val="12"/>
      <color theme="1"/>
      <name val="Calibri"/>
      <family val="2"/>
      <scheme val="minor"/>
    </font>
    <font>
      <b/>
      <u/>
      <sz val="10.5"/>
      <color rgb="FF000000"/>
      <name val="Arial"/>
      <family val="2"/>
    </font>
    <font>
      <b/>
      <sz val="10.5"/>
      <color rgb="FF000000"/>
      <name val="Arial"/>
      <family val="2"/>
    </font>
    <font>
      <sz val="12"/>
      <color theme="1"/>
      <name val="Calibri"/>
      <family val="2"/>
    </font>
    <font>
      <u/>
      <sz val="12"/>
      <color theme="1"/>
      <name val="Calibri"/>
      <family val="2"/>
    </font>
    <font>
      <b/>
      <u/>
      <sz val="12"/>
      <color theme="1"/>
      <name val="Calibri"/>
      <family val="2"/>
    </font>
    <font>
      <b/>
      <i/>
      <u/>
      <sz val="10.5"/>
      <color rgb="FF000000"/>
      <name val="Arial"/>
      <family val="2"/>
    </font>
    <font>
      <i/>
      <u/>
      <sz val="10.5"/>
      <color rgb="FF000000"/>
      <name val="Arial"/>
      <family val="2"/>
    </font>
    <font>
      <sz val="10.5"/>
      <color rgb="FF000000"/>
      <name val="Arial"/>
      <family val="2"/>
    </font>
    <font>
      <i/>
      <sz val="10.5"/>
      <color rgb="FF000000"/>
      <name val="Arial"/>
      <family val="2"/>
    </font>
    <font>
      <sz val="12"/>
      <color rgb="FFFF0000"/>
      <name val="Calibri (Body)"/>
    </font>
  </fonts>
  <fills count="9">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46">
    <xf numFmtId="0" fontId="0" fillId="0" borderId="0" xfId="0"/>
    <xf numFmtId="0" fontId="2" fillId="0" borderId="0" xfId="0" applyFont="1"/>
    <xf numFmtId="43" fontId="0" fillId="0" borderId="0" xfId="1" applyFont="1"/>
    <xf numFmtId="0" fontId="0" fillId="0" borderId="1" xfId="0" applyBorder="1"/>
    <xf numFmtId="43" fontId="0" fillId="0" borderId="1" xfId="1" applyFont="1" applyBorder="1"/>
    <xf numFmtId="0" fontId="2" fillId="2" borderId="1" xfId="0" applyFont="1" applyFill="1" applyBorder="1"/>
    <xf numFmtId="43" fontId="2" fillId="2" borderId="1" xfId="1" applyFont="1" applyFill="1" applyBorder="1"/>
    <xf numFmtId="14" fontId="0" fillId="0" borderId="0" xfId="0" applyNumberFormat="1" applyAlignment="1">
      <alignment horizontal="left"/>
    </xf>
    <xf numFmtId="0" fontId="0" fillId="3" borderId="1" xfId="0" applyFill="1" applyBorder="1"/>
    <xf numFmtId="0" fontId="2" fillId="3" borderId="1" xfId="0" applyFont="1" applyFill="1" applyBorder="1"/>
    <xf numFmtId="43" fontId="0" fillId="3" borderId="1" xfId="1" applyFont="1" applyFill="1" applyBorder="1"/>
    <xf numFmtId="0" fontId="3" fillId="0" borderId="0" xfId="0" applyFont="1" applyAlignment="1">
      <alignment horizontal="left" vertical="center"/>
    </xf>
    <xf numFmtId="0" fontId="0" fillId="0" borderId="1" xfId="0" applyBorder="1" applyAlignment="1">
      <alignment wrapText="1"/>
    </xf>
    <xf numFmtId="0" fontId="6" fillId="0" borderId="1" xfId="0" applyFont="1" applyBorder="1" applyAlignment="1">
      <alignment vertical="center" wrapText="1"/>
    </xf>
    <xf numFmtId="0" fontId="5" fillId="0" borderId="1" xfId="0" applyFont="1" applyBorder="1"/>
    <xf numFmtId="0" fontId="5" fillId="0" borderId="1" xfId="0" applyFont="1" applyBorder="1" applyAlignment="1">
      <alignment vertical="center" wrapText="1"/>
    </xf>
    <xf numFmtId="0" fontId="5" fillId="0" borderId="1" xfId="0" applyFont="1" applyBorder="1" applyAlignment="1">
      <alignment wrapText="1"/>
    </xf>
    <xf numFmtId="0" fontId="10" fillId="0" borderId="1" xfId="0" applyFont="1" applyBorder="1"/>
    <xf numFmtId="49" fontId="5" fillId="0" borderId="1" xfId="0" applyNumberFormat="1" applyFont="1" applyBorder="1" applyAlignment="1">
      <alignment horizontal="right"/>
    </xf>
    <xf numFmtId="0" fontId="10" fillId="0" borderId="1" xfId="0" applyFont="1" applyBorder="1" applyAlignment="1">
      <alignment horizontal="justify" vertical="center"/>
    </xf>
    <xf numFmtId="0" fontId="2" fillId="4" borderId="1" xfId="0" applyFont="1" applyFill="1" applyBorder="1"/>
    <xf numFmtId="43" fontId="2" fillId="4" borderId="1" xfId="1" applyFont="1" applyFill="1" applyBorder="1"/>
    <xf numFmtId="0" fontId="0" fillId="5" borderId="1" xfId="0" applyFill="1" applyBorder="1"/>
    <xf numFmtId="0" fontId="2" fillId="5" borderId="1" xfId="0" applyFont="1" applyFill="1" applyBorder="1"/>
    <xf numFmtId="43" fontId="0" fillId="5" borderId="1" xfId="1" applyFont="1" applyFill="1" applyBorder="1"/>
    <xf numFmtId="0" fontId="3" fillId="0" borderId="0" xfId="0" applyFont="1" applyAlignment="1">
      <alignment horizontal="left" vertical="center" wrapText="1"/>
    </xf>
    <xf numFmtId="43" fontId="2" fillId="5" borderId="1" xfId="1" applyFont="1" applyFill="1" applyBorder="1"/>
    <xf numFmtId="0" fontId="0" fillId="6" borderId="1" xfId="0" applyFill="1" applyBorder="1"/>
    <xf numFmtId="0" fontId="2" fillId="6" borderId="1" xfId="0" applyFont="1" applyFill="1" applyBorder="1"/>
    <xf numFmtId="43" fontId="0" fillId="6" borderId="1" xfId="1" applyFont="1" applyFill="1" applyBorder="1"/>
    <xf numFmtId="43" fontId="2" fillId="6" borderId="1" xfId="1" applyFont="1" applyFill="1" applyBorder="1"/>
    <xf numFmtId="0" fontId="2" fillId="7" borderId="2" xfId="0" applyFont="1" applyFill="1" applyBorder="1"/>
    <xf numFmtId="43" fontId="2" fillId="7" borderId="2" xfId="1" applyFont="1" applyFill="1" applyBorder="1"/>
    <xf numFmtId="0" fontId="3" fillId="0" borderId="0" xfId="0" applyFont="1" applyAlignment="1">
      <alignment horizontal="justify" vertical="center"/>
    </xf>
    <xf numFmtId="0" fontId="2" fillId="0" borderId="1" xfId="0" applyFont="1" applyBorder="1"/>
    <xf numFmtId="43" fontId="0" fillId="3" borderId="3" xfId="1" applyFont="1" applyFill="1" applyBorder="1"/>
    <xf numFmtId="43" fontId="0" fillId="0" borderId="3" xfId="1" applyFont="1" applyBorder="1"/>
    <xf numFmtId="164" fontId="0" fillId="0" borderId="3" xfId="1" applyNumberFormat="1" applyFont="1" applyBorder="1"/>
    <xf numFmtId="164" fontId="2" fillId="4" borderId="3" xfId="1" applyNumberFormat="1" applyFont="1" applyFill="1" applyBorder="1"/>
    <xf numFmtId="43" fontId="0" fillId="5" borderId="3" xfId="1" applyFont="1" applyFill="1" applyBorder="1"/>
    <xf numFmtId="164" fontId="2" fillId="5" borderId="3" xfId="1" applyNumberFormat="1" applyFont="1" applyFill="1" applyBorder="1"/>
    <xf numFmtId="43" fontId="0" fillId="6" borderId="3" xfId="1" applyFont="1" applyFill="1" applyBorder="1"/>
    <xf numFmtId="164" fontId="2" fillId="6" borderId="3" xfId="1" applyNumberFormat="1" applyFont="1" applyFill="1" applyBorder="1"/>
    <xf numFmtId="164" fontId="2" fillId="7" borderId="4" xfId="1" applyNumberFormat="1" applyFont="1" applyFill="1" applyBorder="1"/>
    <xf numFmtId="0" fontId="1" fillId="8" borderId="1" xfId="0" applyFont="1" applyFill="1" applyBorder="1" applyAlignment="1">
      <alignment wrapText="1"/>
    </xf>
    <xf numFmtId="0" fontId="12" fillId="0" borderId="1" xfId="0" applyFont="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816B-6B79-BC47-9EDF-F30385887FC6}">
  <dimension ref="A1:G144"/>
  <sheetViews>
    <sheetView tabSelected="1" topLeftCell="A62" zoomScale="170" zoomScaleNormal="170" zoomScalePageLayoutView="158" workbookViewId="0">
      <selection activeCell="G72" sqref="G72"/>
    </sheetView>
  </sheetViews>
  <sheetFormatPr baseColWidth="10" defaultColWidth="10.83203125" defaultRowHeight="16" x14ac:dyDescent="0.2"/>
  <cols>
    <col min="1" max="1" width="7.6640625" customWidth="1"/>
    <col min="2" max="2" width="57.1640625" customWidth="1"/>
    <col min="3" max="3" width="5.83203125" customWidth="1"/>
    <col min="4" max="4" width="5.33203125" customWidth="1"/>
    <col min="5" max="5" width="10.83203125" style="2"/>
    <col min="6" max="6" width="12.5" style="2" bestFit="1" customWidth="1"/>
    <col min="7" max="7" width="56.5" bestFit="1" customWidth="1"/>
  </cols>
  <sheetData>
    <row r="1" spans="1:7" ht="15" x14ac:dyDescent="0.2">
      <c r="A1" s="1" t="s">
        <v>0</v>
      </c>
      <c r="B1" s="1" t="s">
        <v>8</v>
      </c>
    </row>
    <row r="2" spans="1:7" ht="15" x14ac:dyDescent="0.2">
      <c r="A2" s="1" t="s">
        <v>9</v>
      </c>
      <c r="B2" s="1" t="s">
        <v>10</v>
      </c>
    </row>
    <row r="3" spans="1:7" ht="15" x14ac:dyDescent="0.2">
      <c r="A3" s="1" t="s">
        <v>1</v>
      </c>
      <c r="B3" s="7">
        <v>45980</v>
      </c>
    </row>
    <row r="5" spans="1:7" ht="15" x14ac:dyDescent="0.2">
      <c r="A5" s="5" t="s">
        <v>2</v>
      </c>
      <c r="B5" s="5" t="s">
        <v>3</v>
      </c>
      <c r="C5" s="5" t="s">
        <v>4</v>
      </c>
      <c r="D5" s="5" t="s">
        <v>7</v>
      </c>
      <c r="E5" s="6" t="s">
        <v>5</v>
      </c>
      <c r="F5" s="6" t="s">
        <v>6</v>
      </c>
      <c r="G5" s="34" t="s">
        <v>41</v>
      </c>
    </row>
    <row r="6" spans="1:7" ht="15" x14ac:dyDescent="0.2">
      <c r="A6" s="8"/>
      <c r="B6" s="9" t="s">
        <v>11</v>
      </c>
      <c r="C6" s="8"/>
      <c r="D6" s="8"/>
      <c r="E6" s="10"/>
      <c r="F6" s="35"/>
      <c r="G6" s="3"/>
    </row>
    <row r="7" spans="1:7" x14ac:dyDescent="0.2">
      <c r="A7" s="3">
        <v>1</v>
      </c>
      <c r="B7" s="11" t="s">
        <v>12</v>
      </c>
      <c r="C7" s="3"/>
      <c r="D7" s="3"/>
      <c r="E7" s="4"/>
      <c r="F7" s="36"/>
      <c r="G7" s="3"/>
    </row>
    <row r="8" spans="1:7" ht="102" x14ac:dyDescent="0.2">
      <c r="A8" s="3">
        <v>1.01</v>
      </c>
      <c r="B8" s="12" t="s">
        <v>13</v>
      </c>
      <c r="C8" s="14">
        <v>1</v>
      </c>
      <c r="D8" s="14" t="s">
        <v>17</v>
      </c>
      <c r="E8" s="4"/>
      <c r="F8" s="37"/>
      <c r="G8" s="12" t="s">
        <v>44</v>
      </c>
    </row>
    <row r="9" spans="1:7" ht="51" x14ac:dyDescent="0.2">
      <c r="A9" s="3">
        <v>1.02</v>
      </c>
      <c r="B9" s="12" t="s">
        <v>14</v>
      </c>
      <c r="C9" s="14">
        <v>1</v>
      </c>
      <c r="D9" s="14" t="s">
        <v>17</v>
      </c>
      <c r="E9" s="4"/>
      <c r="F9" s="37"/>
      <c r="G9" s="3" t="s">
        <v>45</v>
      </c>
    </row>
    <row r="10" spans="1:7" x14ac:dyDescent="0.2">
      <c r="A10" s="3"/>
      <c r="B10" s="3"/>
      <c r="C10" s="3"/>
      <c r="D10" s="3"/>
      <c r="E10" s="4"/>
      <c r="F10" s="37"/>
      <c r="G10" s="3"/>
    </row>
    <row r="11" spans="1:7" ht="32" x14ac:dyDescent="0.2">
      <c r="A11" s="3">
        <v>2</v>
      </c>
      <c r="B11" s="13" t="s">
        <v>15</v>
      </c>
      <c r="C11" s="14"/>
      <c r="D11" s="14"/>
      <c r="E11" s="4"/>
      <c r="F11" s="37"/>
      <c r="G11" s="3"/>
    </row>
    <row r="12" spans="1:7" ht="34" x14ac:dyDescent="0.2">
      <c r="A12" s="3">
        <v>2.0099999999999998</v>
      </c>
      <c r="B12" s="15" t="s">
        <v>16</v>
      </c>
      <c r="C12" s="14">
        <v>1</v>
      </c>
      <c r="D12" s="14" t="s">
        <v>17</v>
      </c>
      <c r="E12" s="4"/>
      <c r="F12" s="37"/>
      <c r="G12" s="3" t="s">
        <v>46</v>
      </c>
    </row>
    <row r="13" spans="1:7" ht="119" x14ac:dyDescent="0.2">
      <c r="A13" s="3">
        <v>2.02</v>
      </c>
      <c r="B13" s="15" t="s">
        <v>18</v>
      </c>
      <c r="C13" s="14">
        <v>1</v>
      </c>
      <c r="D13" s="14" t="s">
        <v>17</v>
      </c>
      <c r="E13" s="4"/>
      <c r="F13" s="37"/>
      <c r="G13" s="12" t="s">
        <v>42</v>
      </c>
    </row>
    <row r="14" spans="1:7" ht="34" x14ac:dyDescent="0.2">
      <c r="A14" s="3">
        <v>2.0299999999999998</v>
      </c>
      <c r="B14" s="16" t="s">
        <v>19</v>
      </c>
      <c r="C14" s="14">
        <v>1</v>
      </c>
      <c r="D14" s="14" t="s">
        <v>17</v>
      </c>
      <c r="E14" s="4"/>
      <c r="F14" s="37"/>
      <c r="G14" s="3" t="s">
        <v>43</v>
      </c>
    </row>
    <row r="15" spans="1:7" ht="119" x14ac:dyDescent="0.2">
      <c r="A15" s="3">
        <v>2.04</v>
      </c>
      <c r="B15" s="15" t="s">
        <v>20</v>
      </c>
      <c r="C15" s="17">
        <v>125</v>
      </c>
      <c r="D15" s="18" t="s">
        <v>21</v>
      </c>
      <c r="E15" s="4">
        <v>44.1</v>
      </c>
      <c r="F15" s="37">
        <f>SUM(C15*E15)</f>
        <v>5512.5</v>
      </c>
      <c r="G15" s="44" t="s">
        <v>47</v>
      </c>
    </row>
    <row r="16" spans="1:7" ht="34" x14ac:dyDescent="0.2">
      <c r="A16" s="3">
        <v>2.0499999999999998</v>
      </c>
      <c r="B16" s="16" t="s">
        <v>22</v>
      </c>
      <c r="C16" s="14">
        <v>560</v>
      </c>
      <c r="D16" s="18" t="s">
        <v>23</v>
      </c>
      <c r="E16" s="4">
        <v>27.5</v>
      </c>
      <c r="F16" s="37">
        <f t="shared" ref="F16:F24" si="0">SUM(C16*E16)</f>
        <v>15400</v>
      </c>
      <c r="G16" s="12" t="s">
        <v>48</v>
      </c>
    </row>
    <row r="17" spans="1:7" ht="187" x14ac:dyDescent="0.2">
      <c r="A17" s="3">
        <v>2.06</v>
      </c>
      <c r="B17" s="15" t="s">
        <v>24</v>
      </c>
      <c r="C17" s="14">
        <v>560</v>
      </c>
      <c r="D17" s="18" t="s">
        <v>23</v>
      </c>
      <c r="E17" s="4">
        <v>102.93</v>
      </c>
      <c r="F17" s="37">
        <f t="shared" si="0"/>
        <v>57640.800000000003</v>
      </c>
      <c r="G17" s="3"/>
    </row>
    <row r="18" spans="1:7" ht="68" x14ac:dyDescent="0.2">
      <c r="A18" s="3">
        <v>2.0699999999999998</v>
      </c>
      <c r="B18" s="15" t="s">
        <v>25</v>
      </c>
      <c r="C18" s="14">
        <v>560</v>
      </c>
      <c r="D18" s="18" t="s">
        <v>23</v>
      </c>
      <c r="E18" s="4">
        <v>66.650000000000006</v>
      </c>
      <c r="F18" s="37">
        <f t="shared" si="0"/>
        <v>37324</v>
      </c>
      <c r="G18" s="3" t="s">
        <v>49</v>
      </c>
    </row>
    <row r="19" spans="1:7" ht="68" x14ac:dyDescent="0.2">
      <c r="A19" s="3">
        <v>2.08</v>
      </c>
      <c r="B19" s="15" t="s">
        <v>26</v>
      </c>
      <c r="C19" s="14">
        <v>1</v>
      </c>
      <c r="D19" s="14" t="s">
        <v>17</v>
      </c>
      <c r="E19" s="4">
        <v>637.5</v>
      </c>
      <c r="F19" s="37">
        <f t="shared" si="0"/>
        <v>637.5</v>
      </c>
      <c r="G19" s="3"/>
    </row>
    <row r="20" spans="1:7" ht="75" x14ac:dyDescent="0.2">
      <c r="A20" s="3">
        <v>2.09</v>
      </c>
      <c r="B20" s="19" t="s">
        <v>27</v>
      </c>
      <c r="C20" s="3">
        <v>6</v>
      </c>
      <c r="D20" s="3" t="s">
        <v>32</v>
      </c>
      <c r="E20" s="4">
        <v>85</v>
      </c>
      <c r="F20" s="37">
        <f t="shared" si="0"/>
        <v>510</v>
      </c>
      <c r="G20" s="3"/>
    </row>
    <row r="21" spans="1:7" ht="34" x14ac:dyDescent="0.2">
      <c r="A21" s="3">
        <v>2.1</v>
      </c>
      <c r="B21" s="15" t="s">
        <v>28</v>
      </c>
      <c r="C21" s="3">
        <v>12</v>
      </c>
      <c r="D21" s="3" t="s">
        <v>23</v>
      </c>
      <c r="E21" s="4">
        <v>209</v>
      </c>
      <c r="F21" s="37">
        <f t="shared" si="0"/>
        <v>2508</v>
      </c>
      <c r="G21" s="45"/>
    </row>
    <row r="22" spans="1:7" ht="85" x14ac:dyDescent="0.2">
      <c r="A22" s="3">
        <v>2.11</v>
      </c>
      <c r="B22" s="15" t="s">
        <v>29</v>
      </c>
      <c r="C22" s="3">
        <v>1</v>
      </c>
      <c r="D22" s="3" t="s">
        <v>17</v>
      </c>
      <c r="E22" s="4"/>
      <c r="F22" s="37">
        <f t="shared" si="0"/>
        <v>0</v>
      </c>
      <c r="G22" s="3" t="s">
        <v>43</v>
      </c>
    </row>
    <row r="23" spans="1:7" ht="17" x14ac:dyDescent="0.2">
      <c r="A23" s="3">
        <v>2.12</v>
      </c>
      <c r="B23" s="16" t="s">
        <v>30</v>
      </c>
      <c r="C23" s="3">
        <v>2</v>
      </c>
      <c r="D23" s="3" t="s">
        <v>32</v>
      </c>
      <c r="E23" s="4">
        <v>30</v>
      </c>
      <c r="F23" s="37">
        <f t="shared" si="0"/>
        <v>60</v>
      </c>
      <c r="G23" s="3"/>
    </row>
    <row r="24" spans="1:7" ht="119" x14ac:dyDescent="0.2">
      <c r="A24" s="3">
        <v>2.14</v>
      </c>
      <c r="B24" s="16" t="s">
        <v>31</v>
      </c>
      <c r="C24" s="3">
        <v>1</v>
      </c>
      <c r="D24" s="3" t="s">
        <v>17</v>
      </c>
      <c r="E24" s="4"/>
      <c r="F24" s="37">
        <f t="shared" si="0"/>
        <v>0</v>
      </c>
      <c r="G24" s="3" t="s">
        <v>50</v>
      </c>
    </row>
    <row r="25" spans="1:7" x14ac:dyDescent="0.2">
      <c r="A25" s="3"/>
      <c r="B25" s="3"/>
      <c r="C25" s="3"/>
      <c r="D25" s="3"/>
      <c r="E25" s="4"/>
      <c r="F25" s="36"/>
      <c r="G25" s="3"/>
    </row>
    <row r="26" spans="1:7" x14ac:dyDescent="0.2">
      <c r="A26" s="20"/>
      <c r="B26" s="20" t="s">
        <v>33</v>
      </c>
      <c r="C26" s="20"/>
      <c r="D26" s="20"/>
      <c r="E26" s="21"/>
      <c r="F26" s="38">
        <f>SUM(F7:F24)</f>
        <v>119592.8</v>
      </c>
      <c r="G26" s="3"/>
    </row>
    <row r="27" spans="1:7" x14ac:dyDescent="0.2">
      <c r="A27" s="3"/>
      <c r="B27" s="3"/>
      <c r="C27" s="3"/>
      <c r="D27" s="3"/>
      <c r="E27" s="4"/>
      <c r="F27" s="36"/>
      <c r="G27" s="3"/>
    </row>
    <row r="28" spans="1:7" x14ac:dyDescent="0.2">
      <c r="A28" s="22"/>
      <c r="B28" s="23" t="s">
        <v>34</v>
      </c>
      <c r="C28" s="22"/>
      <c r="D28" s="22"/>
      <c r="E28" s="24"/>
      <c r="F28" s="39"/>
      <c r="G28" s="3"/>
    </row>
    <row r="29" spans="1:7" x14ac:dyDescent="0.2">
      <c r="A29" s="3">
        <v>3</v>
      </c>
      <c r="B29" s="11" t="s">
        <v>12</v>
      </c>
      <c r="C29" s="3"/>
      <c r="D29" s="3"/>
      <c r="E29" s="4"/>
      <c r="F29" s="36"/>
      <c r="G29" s="3"/>
    </row>
    <row r="30" spans="1:7" ht="102" x14ac:dyDescent="0.2">
      <c r="A30" s="3">
        <v>3.01</v>
      </c>
      <c r="B30" s="12" t="s">
        <v>13</v>
      </c>
      <c r="C30" s="3"/>
      <c r="D30" s="3"/>
      <c r="E30" s="4"/>
      <c r="F30" s="37">
        <f t="shared" ref="F30:F67" si="1">SUM(C30*E30)</f>
        <v>0</v>
      </c>
      <c r="G30" s="3"/>
    </row>
    <row r="31" spans="1:7" ht="51" x14ac:dyDescent="0.2">
      <c r="A31" s="3">
        <v>3.02</v>
      </c>
      <c r="B31" s="12" t="s">
        <v>14</v>
      </c>
      <c r="C31" s="3"/>
      <c r="D31" s="3"/>
      <c r="E31" s="4"/>
      <c r="F31" s="37">
        <f t="shared" si="1"/>
        <v>0</v>
      </c>
      <c r="G31" s="3"/>
    </row>
    <row r="32" spans="1:7" x14ac:dyDescent="0.2">
      <c r="A32" s="3"/>
      <c r="B32" s="3"/>
      <c r="C32" s="3"/>
      <c r="D32" s="3"/>
      <c r="E32" s="4"/>
      <c r="F32" s="37">
        <f t="shared" si="1"/>
        <v>0</v>
      </c>
      <c r="G32" s="3"/>
    </row>
    <row r="33" spans="1:7" ht="30" x14ac:dyDescent="0.2">
      <c r="A33" s="3">
        <v>4</v>
      </c>
      <c r="B33" s="25" t="s">
        <v>35</v>
      </c>
      <c r="C33" s="3"/>
      <c r="D33" s="3"/>
      <c r="E33" s="4"/>
      <c r="F33" s="37">
        <f t="shared" si="1"/>
        <v>0</v>
      </c>
      <c r="G33" s="3"/>
    </row>
    <row r="34" spans="1:7" ht="34" x14ac:dyDescent="0.2">
      <c r="A34" s="3">
        <v>4.01</v>
      </c>
      <c r="B34" s="12" t="s">
        <v>36</v>
      </c>
      <c r="C34" s="3">
        <v>1</v>
      </c>
      <c r="D34" s="3" t="s">
        <v>17</v>
      </c>
      <c r="E34" s="4"/>
      <c r="F34" s="37">
        <f t="shared" si="1"/>
        <v>0</v>
      </c>
      <c r="G34" s="3"/>
    </row>
    <row r="35" spans="1:7" ht="119" x14ac:dyDescent="0.2">
      <c r="A35" s="3">
        <v>4.0199999999999996</v>
      </c>
      <c r="B35" s="12" t="s">
        <v>18</v>
      </c>
      <c r="C35" s="3">
        <v>1</v>
      </c>
      <c r="D35" s="3" t="s">
        <v>17</v>
      </c>
      <c r="E35" s="4"/>
      <c r="F35" s="37">
        <f t="shared" si="1"/>
        <v>0</v>
      </c>
      <c r="G35" s="12" t="s">
        <v>42</v>
      </c>
    </row>
    <row r="36" spans="1:7" ht="34" x14ac:dyDescent="0.2">
      <c r="A36" s="3">
        <v>4.03</v>
      </c>
      <c r="B36" s="12" t="s">
        <v>19</v>
      </c>
      <c r="C36" s="3">
        <v>1</v>
      </c>
      <c r="D36" s="3" t="s">
        <v>17</v>
      </c>
      <c r="E36" s="4"/>
      <c r="F36" s="37">
        <f t="shared" si="1"/>
        <v>0</v>
      </c>
      <c r="G36" s="3" t="s">
        <v>43</v>
      </c>
    </row>
    <row r="37" spans="1:7" ht="119" x14ac:dyDescent="0.2">
      <c r="A37" s="3">
        <v>4.04</v>
      </c>
      <c r="B37" s="12" t="s">
        <v>20</v>
      </c>
      <c r="C37" s="3">
        <v>135</v>
      </c>
      <c r="D37" s="3" t="s">
        <v>21</v>
      </c>
      <c r="E37" s="4">
        <v>44.1</v>
      </c>
      <c r="F37" s="37">
        <f t="shared" si="1"/>
        <v>5953.5</v>
      </c>
      <c r="G37" s="44" t="s">
        <v>47</v>
      </c>
    </row>
    <row r="38" spans="1:7" ht="34" x14ac:dyDescent="0.2">
      <c r="A38" s="3">
        <v>4.05</v>
      </c>
      <c r="B38" s="12" t="s">
        <v>22</v>
      </c>
      <c r="C38" s="3">
        <v>540</v>
      </c>
      <c r="D38" s="3" t="s">
        <v>23</v>
      </c>
      <c r="E38" s="4">
        <v>27.1</v>
      </c>
      <c r="F38" s="37">
        <f t="shared" si="1"/>
        <v>14634</v>
      </c>
      <c r="G38" s="12" t="s">
        <v>48</v>
      </c>
    </row>
    <row r="39" spans="1:7" ht="187" x14ac:dyDescent="0.2">
      <c r="A39" s="3">
        <v>4.0599999999999996</v>
      </c>
      <c r="B39" s="12" t="s">
        <v>24</v>
      </c>
      <c r="C39" s="3">
        <v>540</v>
      </c>
      <c r="D39" s="3" t="s">
        <v>23</v>
      </c>
      <c r="E39" s="4">
        <v>102.93</v>
      </c>
      <c r="F39" s="37">
        <f t="shared" si="1"/>
        <v>55582.200000000004</v>
      </c>
      <c r="G39" s="3"/>
    </row>
    <row r="40" spans="1:7" ht="68" x14ac:dyDescent="0.2">
      <c r="A40" s="3">
        <v>4.07</v>
      </c>
      <c r="B40" s="12" t="s">
        <v>25</v>
      </c>
      <c r="C40" s="3">
        <v>540</v>
      </c>
      <c r="D40" s="3" t="s">
        <v>23</v>
      </c>
      <c r="E40" s="4">
        <v>66.650000000000006</v>
      </c>
      <c r="F40" s="37">
        <f t="shared" si="1"/>
        <v>35991</v>
      </c>
      <c r="G40" s="3" t="s">
        <v>49</v>
      </c>
    </row>
    <row r="41" spans="1:7" ht="68" x14ac:dyDescent="0.2">
      <c r="A41" s="3">
        <v>4.08</v>
      </c>
      <c r="B41" s="12" t="s">
        <v>26</v>
      </c>
      <c r="C41" s="3">
        <v>1</v>
      </c>
      <c r="D41" s="3" t="s">
        <v>17</v>
      </c>
      <c r="E41" s="4">
        <v>637.5</v>
      </c>
      <c r="F41" s="37">
        <f t="shared" si="1"/>
        <v>637.5</v>
      </c>
      <c r="G41" s="3"/>
    </row>
    <row r="42" spans="1:7" ht="85" x14ac:dyDescent="0.2">
      <c r="A42" s="3">
        <v>4.09</v>
      </c>
      <c r="B42" s="12" t="s">
        <v>27</v>
      </c>
      <c r="C42" s="3">
        <v>7</v>
      </c>
      <c r="D42" s="3" t="s">
        <v>32</v>
      </c>
      <c r="E42" s="4">
        <v>85</v>
      </c>
      <c r="F42" s="37">
        <f t="shared" si="1"/>
        <v>595</v>
      </c>
      <c r="G42" s="3"/>
    </row>
    <row r="43" spans="1:7" ht="34" x14ac:dyDescent="0.2">
      <c r="A43" s="3" t="s">
        <v>51</v>
      </c>
      <c r="B43" s="12" t="s">
        <v>28</v>
      </c>
      <c r="C43" s="3">
        <v>12</v>
      </c>
      <c r="D43" s="3" t="s">
        <v>23</v>
      </c>
      <c r="E43" s="4">
        <v>209</v>
      </c>
      <c r="F43" s="37">
        <f t="shared" si="1"/>
        <v>2508</v>
      </c>
      <c r="G43" s="3"/>
    </row>
    <row r="44" spans="1:7" ht="85" x14ac:dyDescent="0.2">
      <c r="A44" s="3">
        <v>4.1100000000000003</v>
      </c>
      <c r="B44" s="12" t="s">
        <v>29</v>
      </c>
      <c r="C44" s="3">
        <v>1</v>
      </c>
      <c r="D44" s="3" t="s">
        <v>17</v>
      </c>
      <c r="E44" s="4"/>
      <c r="F44" s="37">
        <f t="shared" si="1"/>
        <v>0</v>
      </c>
      <c r="G44" s="3" t="s">
        <v>43</v>
      </c>
    </row>
    <row r="45" spans="1:7" ht="17" x14ac:dyDescent="0.2">
      <c r="A45" s="3">
        <v>4.12</v>
      </c>
      <c r="B45" s="12" t="s">
        <v>30</v>
      </c>
      <c r="C45" s="3">
        <v>2</v>
      </c>
      <c r="D45" s="3" t="s">
        <v>32</v>
      </c>
      <c r="E45" s="4">
        <v>30</v>
      </c>
      <c r="F45" s="37">
        <f t="shared" si="1"/>
        <v>60</v>
      </c>
      <c r="G45" s="3"/>
    </row>
    <row r="46" spans="1:7" ht="119" x14ac:dyDescent="0.2">
      <c r="A46" s="3">
        <v>4.1399999999999997</v>
      </c>
      <c r="B46" s="12" t="s">
        <v>37</v>
      </c>
      <c r="C46" s="3">
        <v>1</v>
      </c>
      <c r="D46" s="3" t="s">
        <v>17</v>
      </c>
      <c r="E46" s="4"/>
      <c r="F46" s="37">
        <f t="shared" si="1"/>
        <v>0</v>
      </c>
      <c r="G46" s="3" t="s">
        <v>50</v>
      </c>
    </row>
    <row r="47" spans="1:7" x14ac:dyDescent="0.2">
      <c r="A47" s="3"/>
      <c r="B47" s="3"/>
      <c r="C47" s="3"/>
      <c r="D47" s="3"/>
      <c r="E47" s="4"/>
      <c r="F47" s="36"/>
      <c r="G47" s="3"/>
    </row>
    <row r="48" spans="1:7" x14ac:dyDescent="0.2">
      <c r="A48" s="23"/>
      <c r="B48" s="23" t="s">
        <v>33</v>
      </c>
      <c r="C48" s="23"/>
      <c r="D48" s="23"/>
      <c r="E48" s="26"/>
      <c r="F48" s="40">
        <f>SUM(F30:F46)</f>
        <v>115961.20000000001</v>
      </c>
      <c r="G48" s="3"/>
    </row>
    <row r="49" spans="1:7" x14ac:dyDescent="0.2">
      <c r="A49" s="3"/>
      <c r="B49" s="3"/>
      <c r="C49" s="3"/>
      <c r="D49" s="3"/>
      <c r="E49" s="4"/>
      <c r="F49" s="36"/>
      <c r="G49" s="3"/>
    </row>
    <row r="50" spans="1:7" x14ac:dyDescent="0.2">
      <c r="A50" s="27"/>
      <c r="B50" s="28" t="s">
        <v>38</v>
      </c>
      <c r="C50" s="27"/>
      <c r="D50" s="27"/>
      <c r="E50" s="29"/>
      <c r="F50" s="41"/>
      <c r="G50" s="3"/>
    </row>
    <row r="51" spans="1:7" x14ac:dyDescent="0.2">
      <c r="A51" s="3">
        <v>5</v>
      </c>
      <c r="B51" s="11" t="s">
        <v>12</v>
      </c>
      <c r="C51" s="3"/>
      <c r="D51" s="3"/>
      <c r="E51" s="4"/>
      <c r="F51" s="36"/>
      <c r="G51" s="3"/>
    </row>
    <row r="52" spans="1:7" ht="102" x14ac:dyDescent="0.2">
      <c r="A52" s="3">
        <v>5.01</v>
      </c>
      <c r="B52" s="12" t="s">
        <v>13</v>
      </c>
      <c r="C52" s="3">
        <v>1</v>
      </c>
      <c r="D52" s="3" t="s">
        <v>17</v>
      </c>
      <c r="E52" s="4"/>
      <c r="F52" s="37">
        <f t="shared" si="1"/>
        <v>0</v>
      </c>
      <c r="G52" s="12" t="s">
        <v>44</v>
      </c>
    </row>
    <row r="53" spans="1:7" ht="51" x14ac:dyDescent="0.2">
      <c r="A53" s="3">
        <v>5.0199999999999996</v>
      </c>
      <c r="B53" s="12" t="s">
        <v>14</v>
      </c>
      <c r="C53" s="3">
        <v>1</v>
      </c>
      <c r="D53" s="3" t="s">
        <v>17</v>
      </c>
      <c r="E53" s="4"/>
      <c r="F53" s="37">
        <f t="shared" si="1"/>
        <v>0</v>
      </c>
      <c r="G53" s="3" t="s">
        <v>45</v>
      </c>
    </row>
    <row r="54" spans="1:7" x14ac:dyDescent="0.2">
      <c r="A54" s="3"/>
      <c r="B54" s="3"/>
      <c r="C54" s="3"/>
      <c r="D54" s="3"/>
      <c r="E54" s="4"/>
      <c r="F54" s="37"/>
      <c r="G54" s="3"/>
    </row>
    <row r="55" spans="1:7" ht="30" x14ac:dyDescent="0.2">
      <c r="A55" s="3">
        <v>6</v>
      </c>
      <c r="B55" s="33" t="s">
        <v>39</v>
      </c>
      <c r="C55" s="3"/>
      <c r="D55" s="3"/>
      <c r="E55" s="4"/>
      <c r="F55" s="37">
        <f t="shared" si="1"/>
        <v>0</v>
      </c>
      <c r="G55" s="3"/>
    </row>
    <row r="56" spans="1:7" ht="34" x14ac:dyDescent="0.2">
      <c r="A56" s="3">
        <v>6.01</v>
      </c>
      <c r="B56" s="12" t="s">
        <v>36</v>
      </c>
      <c r="C56" s="3">
        <v>1</v>
      </c>
      <c r="D56" s="3" t="s">
        <v>17</v>
      </c>
      <c r="E56" s="4"/>
      <c r="F56" s="37">
        <f t="shared" si="1"/>
        <v>0</v>
      </c>
      <c r="G56" s="3" t="s">
        <v>46</v>
      </c>
    </row>
    <row r="57" spans="1:7" ht="119" x14ac:dyDescent="0.2">
      <c r="A57" s="3">
        <v>6.02</v>
      </c>
      <c r="B57" s="12" t="s">
        <v>18</v>
      </c>
      <c r="C57" s="3">
        <v>1</v>
      </c>
      <c r="D57" s="3" t="s">
        <v>17</v>
      </c>
      <c r="E57" s="4"/>
      <c r="F57" s="37">
        <f t="shared" si="1"/>
        <v>0</v>
      </c>
      <c r="G57" s="12" t="s">
        <v>42</v>
      </c>
    </row>
    <row r="58" spans="1:7" ht="34" x14ac:dyDescent="0.2">
      <c r="A58" s="3">
        <v>6.03</v>
      </c>
      <c r="B58" s="12" t="s">
        <v>19</v>
      </c>
      <c r="C58" s="3">
        <v>1</v>
      </c>
      <c r="D58" s="3" t="s">
        <v>17</v>
      </c>
      <c r="E58" s="4"/>
      <c r="F58" s="37">
        <f t="shared" si="1"/>
        <v>0</v>
      </c>
      <c r="G58" s="3" t="s">
        <v>43</v>
      </c>
    </row>
    <row r="59" spans="1:7" ht="119" x14ac:dyDescent="0.2">
      <c r="A59" s="3">
        <v>6.04</v>
      </c>
      <c r="B59" s="12" t="s">
        <v>20</v>
      </c>
      <c r="C59" s="3">
        <v>100</v>
      </c>
      <c r="D59" s="3" t="s">
        <v>21</v>
      </c>
      <c r="E59" s="4">
        <v>44.1</v>
      </c>
      <c r="F59" s="37">
        <f t="shared" si="1"/>
        <v>4410</v>
      </c>
      <c r="G59" s="44" t="s">
        <v>47</v>
      </c>
    </row>
    <row r="60" spans="1:7" ht="34" x14ac:dyDescent="0.2">
      <c r="A60" s="3">
        <v>6.05</v>
      </c>
      <c r="B60" s="12" t="s">
        <v>22</v>
      </c>
      <c r="C60" s="3">
        <v>480</v>
      </c>
      <c r="D60" s="3" t="s">
        <v>23</v>
      </c>
      <c r="E60" s="4">
        <v>27.5</v>
      </c>
      <c r="F60" s="37">
        <f t="shared" si="1"/>
        <v>13200</v>
      </c>
      <c r="G60" s="12" t="s">
        <v>48</v>
      </c>
    </row>
    <row r="61" spans="1:7" ht="187" x14ac:dyDescent="0.2">
      <c r="A61" s="3">
        <v>6.06</v>
      </c>
      <c r="B61" s="12" t="s">
        <v>24</v>
      </c>
      <c r="C61" s="3">
        <v>480</v>
      </c>
      <c r="D61" s="3" t="s">
        <v>23</v>
      </c>
      <c r="E61" s="4">
        <v>102.93</v>
      </c>
      <c r="F61" s="37">
        <f t="shared" si="1"/>
        <v>49406.400000000001</v>
      </c>
      <c r="G61" s="3"/>
    </row>
    <row r="62" spans="1:7" ht="68" x14ac:dyDescent="0.2">
      <c r="A62" s="3">
        <v>6.07</v>
      </c>
      <c r="B62" s="12" t="s">
        <v>25</v>
      </c>
      <c r="C62" s="3">
        <v>480</v>
      </c>
      <c r="D62" s="3" t="s">
        <v>23</v>
      </c>
      <c r="E62" s="4">
        <v>66.650000000000006</v>
      </c>
      <c r="F62" s="37">
        <f t="shared" si="1"/>
        <v>31992.000000000004</v>
      </c>
      <c r="G62" s="3" t="s">
        <v>49</v>
      </c>
    </row>
    <row r="63" spans="1:7" ht="68" x14ac:dyDescent="0.2">
      <c r="A63" s="3">
        <v>6.08</v>
      </c>
      <c r="B63" s="12" t="s">
        <v>26</v>
      </c>
      <c r="C63" s="3">
        <v>1</v>
      </c>
      <c r="D63" s="3" t="s">
        <v>17</v>
      </c>
      <c r="E63" s="4">
        <v>637.5</v>
      </c>
      <c r="F63" s="37">
        <f t="shared" si="1"/>
        <v>637.5</v>
      </c>
      <c r="G63" s="3"/>
    </row>
    <row r="64" spans="1:7" ht="85" x14ac:dyDescent="0.2">
      <c r="A64" s="3">
        <v>6.09</v>
      </c>
      <c r="B64" s="12" t="s">
        <v>27</v>
      </c>
      <c r="C64" s="3">
        <v>7</v>
      </c>
      <c r="D64" s="3" t="s">
        <v>32</v>
      </c>
      <c r="E64" s="4">
        <v>85</v>
      </c>
      <c r="F64" s="37">
        <f t="shared" si="1"/>
        <v>595</v>
      </c>
      <c r="G64" s="3"/>
    </row>
    <row r="65" spans="1:7" ht="34" x14ac:dyDescent="0.2">
      <c r="A65" s="3">
        <v>6.1</v>
      </c>
      <c r="B65" s="12" t="s">
        <v>28</v>
      </c>
      <c r="C65" s="3">
        <v>12</v>
      </c>
      <c r="D65" s="3" t="s">
        <v>23</v>
      </c>
      <c r="E65" s="4">
        <v>209</v>
      </c>
      <c r="F65" s="37">
        <f t="shared" si="1"/>
        <v>2508</v>
      </c>
      <c r="G65" s="45"/>
    </row>
    <row r="66" spans="1:7" ht="85" x14ac:dyDescent="0.2">
      <c r="A66" s="3">
        <v>6.11</v>
      </c>
      <c r="B66" s="12" t="s">
        <v>29</v>
      </c>
      <c r="C66" s="3">
        <v>1</v>
      </c>
      <c r="D66" s="3" t="s">
        <v>17</v>
      </c>
      <c r="E66" s="4"/>
      <c r="F66" s="37">
        <f t="shared" si="1"/>
        <v>0</v>
      </c>
      <c r="G66" s="3" t="s">
        <v>43</v>
      </c>
    </row>
    <row r="67" spans="1:7" ht="17" x14ac:dyDescent="0.2">
      <c r="A67" s="3">
        <v>6.12</v>
      </c>
      <c r="B67" s="12" t="s">
        <v>30</v>
      </c>
      <c r="C67" s="3">
        <v>2</v>
      </c>
      <c r="D67" s="3" t="s">
        <v>32</v>
      </c>
      <c r="E67" s="4">
        <v>30</v>
      </c>
      <c r="F67" s="37">
        <f t="shared" si="1"/>
        <v>60</v>
      </c>
      <c r="G67" s="3"/>
    </row>
    <row r="68" spans="1:7" ht="31" customHeight="1" x14ac:dyDescent="0.2">
      <c r="A68" s="3"/>
      <c r="B68" s="12"/>
      <c r="C68" s="3"/>
      <c r="D68" s="3"/>
      <c r="E68" s="4"/>
      <c r="F68" s="36"/>
      <c r="G68" s="3"/>
    </row>
    <row r="69" spans="1:7" x14ac:dyDescent="0.2">
      <c r="A69" s="3"/>
      <c r="B69" s="3"/>
      <c r="C69" s="3"/>
      <c r="D69" s="3"/>
      <c r="E69" s="4"/>
      <c r="F69" s="36"/>
      <c r="G69" s="3"/>
    </row>
    <row r="70" spans="1:7" x14ac:dyDescent="0.2">
      <c r="A70" s="28"/>
      <c r="B70" s="28" t="s">
        <v>33</v>
      </c>
      <c r="C70" s="28"/>
      <c r="D70" s="28"/>
      <c r="E70" s="30"/>
      <c r="F70" s="42">
        <f>SUM(F52:F68)</f>
        <v>102808.9</v>
      </c>
      <c r="G70" s="3"/>
    </row>
    <row r="71" spans="1:7" x14ac:dyDescent="0.2">
      <c r="E71"/>
      <c r="F71"/>
      <c r="G71" s="3"/>
    </row>
    <row r="72" spans="1:7" ht="17" thickBot="1" x14ac:dyDescent="0.25">
      <c r="A72" s="31"/>
      <c r="B72" s="31" t="s">
        <v>40</v>
      </c>
      <c r="C72" s="31"/>
      <c r="D72" s="31"/>
      <c r="E72" s="32"/>
      <c r="F72" s="43">
        <f>SUM(F70+F48+F26)</f>
        <v>338362.9</v>
      </c>
      <c r="G72" s="3"/>
    </row>
    <row r="73" spans="1:7" x14ac:dyDescent="0.2">
      <c r="E73"/>
      <c r="F73"/>
    </row>
    <row r="74" spans="1:7" x14ac:dyDescent="0.2">
      <c r="E74"/>
      <c r="F74"/>
    </row>
    <row r="75" spans="1:7" x14ac:dyDescent="0.2">
      <c r="E75"/>
      <c r="F75"/>
    </row>
    <row r="76" spans="1:7" x14ac:dyDescent="0.2">
      <c r="E76"/>
      <c r="F76"/>
    </row>
    <row r="77" spans="1:7" x14ac:dyDescent="0.2">
      <c r="E77"/>
      <c r="F77"/>
    </row>
    <row r="78" spans="1:7" x14ac:dyDescent="0.2">
      <c r="E78"/>
      <c r="F78"/>
    </row>
    <row r="79" spans="1:7" x14ac:dyDescent="0.2">
      <c r="E79"/>
      <c r="F79"/>
    </row>
    <row r="80" spans="1:7" x14ac:dyDescent="0.2">
      <c r="E80"/>
      <c r="F80"/>
    </row>
    <row r="81" spans="5:6" x14ac:dyDescent="0.2">
      <c r="E81"/>
      <c r="F81"/>
    </row>
    <row r="82" spans="5:6" x14ac:dyDescent="0.2">
      <c r="E82"/>
      <c r="F82"/>
    </row>
    <row r="83" spans="5:6" x14ac:dyDescent="0.2">
      <c r="E83"/>
      <c r="F83"/>
    </row>
    <row r="84" spans="5:6" x14ac:dyDescent="0.2">
      <c r="E84"/>
      <c r="F84"/>
    </row>
    <row r="85" spans="5:6" x14ac:dyDescent="0.2">
      <c r="E85"/>
      <c r="F85"/>
    </row>
    <row r="86" spans="5:6" x14ac:dyDescent="0.2">
      <c r="E86"/>
      <c r="F86"/>
    </row>
    <row r="87" spans="5:6" x14ac:dyDescent="0.2">
      <c r="E87"/>
      <c r="F87"/>
    </row>
    <row r="88" spans="5:6" x14ac:dyDescent="0.2">
      <c r="E88"/>
      <c r="F88"/>
    </row>
    <row r="89" spans="5:6" x14ac:dyDescent="0.2">
      <c r="E89"/>
      <c r="F89"/>
    </row>
    <row r="90" spans="5:6" x14ac:dyDescent="0.2">
      <c r="E90"/>
      <c r="F90"/>
    </row>
    <row r="91" spans="5:6" x14ac:dyDescent="0.2">
      <c r="E91"/>
      <c r="F91"/>
    </row>
    <row r="92" spans="5:6" x14ac:dyDescent="0.2">
      <c r="E92"/>
      <c r="F92"/>
    </row>
    <row r="93" spans="5:6" x14ac:dyDescent="0.2">
      <c r="E93"/>
      <c r="F93"/>
    </row>
    <row r="94" spans="5:6" x14ac:dyDescent="0.2">
      <c r="E94"/>
      <c r="F94"/>
    </row>
    <row r="95" spans="5:6" x14ac:dyDescent="0.2">
      <c r="E95"/>
      <c r="F95"/>
    </row>
    <row r="96" spans="5:6" x14ac:dyDescent="0.2">
      <c r="E96"/>
      <c r="F96"/>
    </row>
    <row r="97" spans="5:6" x14ac:dyDescent="0.2">
      <c r="E97"/>
      <c r="F97"/>
    </row>
    <row r="98" spans="5:6" x14ac:dyDescent="0.2">
      <c r="E98"/>
      <c r="F98"/>
    </row>
    <row r="99" spans="5:6" x14ac:dyDescent="0.2">
      <c r="E99"/>
      <c r="F99"/>
    </row>
    <row r="100" spans="5:6" x14ac:dyDescent="0.2">
      <c r="E100"/>
      <c r="F100"/>
    </row>
    <row r="101" spans="5:6" x14ac:dyDescent="0.2">
      <c r="E101"/>
      <c r="F101"/>
    </row>
    <row r="102" spans="5:6" x14ac:dyDescent="0.2">
      <c r="E102"/>
      <c r="F102"/>
    </row>
    <row r="103" spans="5:6" x14ac:dyDescent="0.2">
      <c r="E103"/>
      <c r="F103"/>
    </row>
    <row r="104" spans="5:6" x14ac:dyDescent="0.2">
      <c r="E104"/>
      <c r="F104"/>
    </row>
    <row r="105" spans="5:6" x14ac:dyDescent="0.2">
      <c r="E105"/>
      <c r="F105"/>
    </row>
    <row r="106" spans="5:6" x14ac:dyDescent="0.2">
      <c r="E106"/>
      <c r="F106"/>
    </row>
    <row r="107" spans="5:6" x14ac:dyDescent="0.2">
      <c r="E107"/>
      <c r="F107"/>
    </row>
    <row r="108" spans="5:6" x14ac:dyDescent="0.2">
      <c r="E108"/>
      <c r="F108"/>
    </row>
    <row r="109" spans="5:6" x14ac:dyDescent="0.2">
      <c r="E109"/>
      <c r="F109"/>
    </row>
    <row r="110" spans="5:6" x14ac:dyDescent="0.2">
      <c r="E110"/>
      <c r="F110"/>
    </row>
    <row r="111" spans="5:6" x14ac:dyDescent="0.2">
      <c r="E111"/>
      <c r="F111"/>
    </row>
    <row r="112" spans="5:6" x14ac:dyDescent="0.2">
      <c r="E112"/>
      <c r="F112"/>
    </row>
    <row r="113" spans="5:6" x14ac:dyDescent="0.2">
      <c r="E113"/>
      <c r="F113"/>
    </row>
    <row r="114" spans="5:6" x14ac:dyDescent="0.2">
      <c r="E114"/>
      <c r="F114"/>
    </row>
    <row r="115" spans="5:6" x14ac:dyDescent="0.2">
      <c r="E115"/>
      <c r="F115"/>
    </row>
    <row r="116" spans="5:6" x14ac:dyDescent="0.2">
      <c r="E116"/>
      <c r="F116"/>
    </row>
    <row r="117" spans="5:6" x14ac:dyDescent="0.2">
      <c r="E117"/>
      <c r="F117"/>
    </row>
    <row r="118" spans="5:6" x14ac:dyDescent="0.2">
      <c r="E118"/>
      <c r="F118"/>
    </row>
    <row r="119" spans="5:6" x14ac:dyDescent="0.2">
      <c r="E119"/>
      <c r="F119"/>
    </row>
    <row r="120" spans="5:6" x14ac:dyDescent="0.2">
      <c r="E120"/>
      <c r="F120"/>
    </row>
    <row r="121" spans="5:6" x14ac:dyDescent="0.2">
      <c r="E121"/>
      <c r="F121"/>
    </row>
    <row r="122" spans="5:6" x14ac:dyDescent="0.2">
      <c r="E122"/>
      <c r="F122"/>
    </row>
    <row r="123" spans="5:6" x14ac:dyDescent="0.2">
      <c r="E123"/>
      <c r="F123"/>
    </row>
    <row r="124" spans="5:6" x14ac:dyDescent="0.2">
      <c r="E124"/>
      <c r="F124"/>
    </row>
    <row r="125" spans="5:6" x14ac:dyDescent="0.2">
      <c r="E125"/>
      <c r="F125"/>
    </row>
    <row r="126" spans="5:6" x14ac:dyDescent="0.2">
      <c r="E126"/>
      <c r="F126"/>
    </row>
    <row r="127" spans="5:6" x14ac:dyDescent="0.2">
      <c r="E127"/>
      <c r="F127"/>
    </row>
    <row r="128" spans="5:6" x14ac:dyDescent="0.2">
      <c r="E128"/>
      <c r="F128"/>
    </row>
    <row r="129" spans="5:6" x14ac:dyDescent="0.2">
      <c r="E129"/>
      <c r="F129"/>
    </row>
    <row r="130" spans="5:6" x14ac:dyDescent="0.2">
      <c r="E130"/>
      <c r="F130"/>
    </row>
    <row r="131" spans="5:6" x14ac:dyDescent="0.2">
      <c r="E131"/>
      <c r="F131"/>
    </row>
    <row r="132" spans="5:6" x14ac:dyDescent="0.2">
      <c r="E132"/>
      <c r="F132"/>
    </row>
    <row r="133" spans="5:6" x14ac:dyDescent="0.2">
      <c r="E133"/>
      <c r="F133"/>
    </row>
    <row r="134" spans="5:6" x14ac:dyDescent="0.2">
      <c r="E134"/>
      <c r="F134"/>
    </row>
    <row r="135" spans="5:6" x14ac:dyDescent="0.2">
      <c r="E135"/>
      <c r="F135"/>
    </row>
    <row r="136" spans="5:6" x14ac:dyDescent="0.2">
      <c r="E136"/>
      <c r="F136"/>
    </row>
    <row r="137" spans="5:6" x14ac:dyDescent="0.2">
      <c r="E137"/>
      <c r="F137"/>
    </row>
    <row r="138" spans="5:6" x14ac:dyDescent="0.2">
      <c r="E138"/>
      <c r="F138"/>
    </row>
    <row r="139" spans="5:6" x14ac:dyDescent="0.2">
      <c r="E139"/>
      <c r="F139"/>
    </row>
    <row r="140" spans="5:6" x14ac:dyDescent="0.2">
      <c r="E140"/>
      <c r="F140"/>
    </row>
    <row r="141" spans="5:6" x14ac:dyDescent="0.2">
      <c r="E141"/>
      <c r="F141"/>
    </row>
    <row r="142" spans="5:6" x14ac:dyDescent="0.2">
      <c r="E142"/>
      <c r="F142"/>
    </row>
    <row r="143" spans="5:6" x14ac:dyDescent="0.2">
      <c r="E143"/>
      <c r="F143"/>
    </row>
    <row r="144" spans="5:6" x14ac:dyDescent="0.2">
      <c r="E144"/>
      <c r="F144"/>
    </row>
  </sheetData>
  <pageMargins left="0.7" right="0.7" top="0.75" bottom="0.75" header="0.3" footer="0.3"/>
  <pageSetup paperSize="9" orientation="portrait" horizontalDpi="0" verticalDpi="0"/>
  <headerFooter>
    <oddHeader>&amp;R&amp;G</oddHeader>
    <oddFooter>&amp;C&amp;P</oddFooter>
  </headerFooter>
  <legacyDrawingHF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Owen Lynam</dc:creator>
  <cp:lastModifiedBy>Damien Sullivan</cp:lastModifiedBy>
  <dcterms:created xsi:type="dcterms:W3CDTF">2025-01-17T10:06:23Z</dcterms:created>
  <dcterms:modified xsi:type="dcterms:W3CDTF">2026-01-14T12:07:12Z</dcterms:modified>
</cp:coreProperties>
</file>